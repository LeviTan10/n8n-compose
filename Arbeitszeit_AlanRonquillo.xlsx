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alanr\OneDrive - Instituto Tecnologico y de Estudios Superiores de Monterrey\Documentos\HOCHSCHULE ESSLINGEN\MECHATRONICAL PROJECT\"/>
    </mc:Choice>
  </mc:AlternateContent>
  <xr:revisionPtr revIDLastSave="0" documentId="13_ncr:1_{0571D6FD-29C5-4E55-94A8-44DD82ACBBCF}" xr6:coauthVersionLast="47" xr6:coauthVersionMax="47" xr10:uidLastSave="{00000000-0000-0000-0000-000000000000}"/>
  <bookViews>
    <workbookView xWindow="-96" yWindow="0" windowWidth="11712" windowHeight="13056" xr2:uid="{86FFAFF6-1442-41E8-A1B2-7D9FA2F5CAF4}"/>
  </bookViews>
  <sheets>
    <sheet name="Arbeitszeit"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2" l="1"/>
  <c r="A18" i="2"/>
  <c r="B17" i="2"/>
  <c r="A17" i="2"/>
  <c r="AF4" i="2"/>
  <c r="B5" i="2"/>
  <c r="A6" i="2" s="1"/>
  <c r="A5" i="2"/>
  <c r="AF10" i="2"/>
  <c r="AF17" i="2"/>
  <c r="AF18" i="2"/>
  <c r="AF5" i="2"/>
  <c r="AF6" i="2"/>
  <c r="AF7" i="2"/>
  <c r="AF8" i="2"/>
  <c r="AF9" i="2"/>
  <c r="AF11" i="2"/>
  <c r="AF12" i="2"/>
  <c r="AF13" i="2"/>
  <c r="AF14" i="2"/>
  <c r="AF15" i="2"/>
  <c r="AF16" i="2"/>
  <c r="AF19" i="2" l="1"/>
  <c r="B6" i="2"/>
  <c r="A7" i="2" l="1"/>
  <c r="B7" i="2"/>
  <c r="A8" i="2" l="1"/>
  <c r="B8" i="2"/>
  <c r="A9" i="2" l="1"/>
  <c r="B9" i="2"/>
  <c r="B10" i="2" l="1"/>
  <c r="A10" i="2"/>
  <c r="A11" i="2" l="1"/>
  <c r="B11" i="2"/>
  <c r="B12" i="2" l="1"/>
  <c r="A12" i="2"/>
  <c r="A13" i="2" l="1"/>
  <c r="B13" i="2"/>
  <c r="A14" i="2" l="1"/>
  <c r="B14" i="2"/>
  <c r="B15" i="2" l="1"/>
  <c r="A15" i="2"/>
</calcChain>
</file>

<file path=xl/sharedStrings.xml><?xml version="1.0" encoding="utf-8"?>
<sst xmlns="http://schemas.openxmlformats.org/spreadsheetml/2006/main" count="203" uniqueCount="138">
  <si>
    <t>Week</t>
  </si>
  <si>
    <t>Day</t>
  </si>
  <si>
    <t>Monday</t>
  </si>
  <si>
    <t>Tuesday</t>
  </si>
  <si>
    <t>Wednesday</t>
  </si>
  <si>
    <t>Thursday</t>
  </si>
  <si>
    <t>Friday</t>
  </si>
  <si>
    <t>Saturday</t>
  </si>
  <si>
    <t>Sunday</t>
  </si>
  <si>
    <t>Total Hours</t>
  </si>
  <si>
    <t>2 pm - 5 pm</t>
  </si>
  <si>
    <t>1:30 pm - 3:00 pm</t>
  </si>
  <si>
    <t>Scheduled Time</t>
  </si>
  <si>
    <t>Dedicated Hours</t>
  </si>
  <si>
    <t>Description</t>
  </si>
  <si>
    <t>1:45 pm - 2:15 pm</t>
  </si>
  <si>
    <t>2:00 pm - 5:00 pm</t>
  </si>
  <si>
    <t>2:30 pm - 4:00 pm</t>
  </si>
  <si>
    <t xml:space="preserve"> </t>
  </si>
  <si>
    <t>7 :00 pm - 9:30 pm</t>
  </si>
  <si>
    <t>Study of N8N</t>
  </si>
  <si>
    <t>1:30 pm-3:00 pm</t>
  </si>
  <si>
    <t>10:30:00 am - 12:30 pm
2:00 pm - 5:00 pm</t>
  </si>
  <si>
    <t>5:00 pm - 7:00 pm</t>
  </si>
  <si>
    <t>11:00 am - 1:45 pm</t>
  </si>
  <si>
    <t>1:30 pm - 3:00 pm
3:00 pm - 5:00 pm</t>
  </si>
  <si>
    <t>12:30:00 pm - 2:30 pm
2:30 pm - 5:00 pm</t>
  </si>
  <si>
    <t>1:00 pm - 3:00 pm</t>
  </si>
  <si>
    <t>9:00 am-12:30 pm
3:15 pm - 4:15 pm</t>
  </si>
  <si>
    <t>1:00 pm - 2:30 pm</t>
  </si>
  <si>
    <t>Date</t>
  </si>
  <si>
    <t>Starting Date</t>
  </si>
  <si>
    <t>End Date</t>
  </si>
  <si>
    <t>Starting Meeting, introduction to the project. Met the team and started communication</t>
  </si>
  <si>
    <t>Verification of the complete installation of N8N on the main PC</t>
  </si>
  <si>
    <t>Notes</t>
  </si>
  <si>
    <t>TOTAL INVESTED HOURS</t>
  </si>
  <si>
    <t>Installed remaining dependencies in my own computer</t>
  </si>
  <si>
    <t>I personally had some troubles following the teacher's instructions so took some help on internet videos</t>
  </si>
  <si>
    <t>I personally would say, I had a good overview of what the project will be about.</t>
  </si>
  <si>
    <t>Installation of Docker and dependencies, installation of n8n on main pc
Meeting with the team regarding what else needs to be installed and how job will be</t>
  </si>
  <si>
    <t>I started with the installation of Docker and everything needes before the meeting. During the meeting we talked about what the troubles we had and looked up at more things we needed to do before starting the project. We also stayed a little bit more of time in the laboratory working on the installation of N8N and Ollama on the main pc.</t>
  </si>
  <si>
    <t>2:00 pm-4:30 pm</t>
  </si>
  <si>
    <t>Final Presentation</t>
  </si>
  <si>
    <t>Helped preparing the proper space for the final presentation of the project.
Gave information regarding the project</t>
  </si>
  <si>
    <t>Final Documentation</t>
  </si>
  <si>
    <t>Worked on the final documentation regarding the AI Agent and the Ollama Installation</t>
  </si>
  <si>
    <t>12:00 am - 3:00 am
4:45 pm - 8:00pm</t>
  </si>
  <si>
    <t>Made some adjustments regarding compatibility with german language and the functionality of other Use Cases.
Sent feedback to the team in the way the voice recognition part could also work</t>
  </si>
  <si>
    <t>5:00 pm - 6:30 pm</t>
  </si>
  <si>
    <t>Made some research regarding a issue with the German Language.
Made some adjustments on the Python Code and tested it to see execution of the Use Case</t>
  </si>
  <si>
    <t>Laboratory's Meeting</t>
  </si>
  <si>
    <t>12:00 am - 4:45 am
2:30 pm - 3:30 pm</t>
  </si>
  <si>
    <t>Use Cases: Menge Buchen &amp; Gesamtmenge Melden
Laboratory's Meeting</t>
  </si>
  <si>
    <t>Worked on the 
Talked about the status of the assigned Use Cases
Showed advances of the working Use Cases</t>
  </si>
  <si>
    <t>Installation of Team Viewer, Git, Docker, N8N, Ollama and all needed dependencies in other workable Computer</t>
  </si>
  <si>
    <t>Having encountered problems working with my computer, I asked a friend if I could use his computer. To do this, I installed TeamViewer and all the libraries and software I had been using, so that I could work remotely through my PC.</t>
  </si>
  <si>
    <t>Finished with the "Menge Buchen" and "Gesamtmenge" Use Cases</t>
  </si>
  <si>
    <t>Worked with the "Menge Buchen" and "Gesamtmenge" Use Cases</t>
  </si>
  <si>
    <t>Started working remotely with the previous generated code, made some adjustments and improvements (connected with the Advanced Manufactuing selection and filter selections parts)</t>
  </si>
  <si>
    <t>1:15 pm - 4 pm</t>
  </si>
  <si>
    <t>12:00 am - 5:30 am</t>
  </si>
  <si>
    <t>2:00 pm - 4:15 pm
 5:00 pm - 9:00 pm</t>
  </si>
  <si>
    <t>12:00 pm - 1:15 pm</t>
  </si>
  <si>
    <t>2:30 pm - 3:15 pm</t>
  </si>
  <si>
    <t>Use Cases: Menge Buchen &amp; Gesamtmenge Melden</t>
  </si>
  <si>
    <t>Worked with the Use Cases and obtained as a main improvement the removal of the pop-up and started working with the yield, scrap and rework filling</t>
  </si>
  <si>
    <t>Installed important dependencies for the correct functionality of the assigned Use Cases, identified problems with main pc, searched for solutions</t>
  </si>
  <si>
    <t>Voice Recognition: Connection between Whisper and N8N
Use Cases: Menge Buchen &amp; Gesamtmenge Melden</t>
  </si>
  <si>
    <t>12:00 pm - 2:45 pm</t>
  </si>
  <si>
    <t>Attempted to connect the code I did with N8N with the Webhook node
Started with the research into the SAP platform regarding the button click path, as well as the solutions to generate the code and solve it</t>
  </si>
  <si>
    <t>11:00 am - 1:30 pm</t>
  </si>
  <si>
    <t>Wroked with the Use Cases and obtained as main improvement almost the full completion of all assigned Use Cases (in english language). Only things remaining: Reason selection, functionality with german language.</t>
  </si>
  <si>
    <t>Made some research regarding N8N functionality, possible nodes to use and connection with Ollama</t>
  </si>
  <si>
    <t>Meeting with Orise
Research about Internet Connection</t>
  </si>
  <si>
    <t>Introduction to the main functionalities of the SAP Portal
Made some research regarding internet connection</t>
  </si>
  <si>
    <t>General Research</t>
  </si>
  <si>
    <t>Did a general research on every technology that needs to be used.
Started working with SAP Portal, checking a good portion of pathways to resolve all Use Cases</t>
  </si>
  <si>
    <t>Installation of N8N on the main PC (laboratory)</t>
  </si>
  <si>
    <t>SAP Portal Research</t>
  </si>
  <si>
    <t>Continued working with SAP Portal, checking a good portion of pathways to resolve all Use Cases</t>
  </si>
  <si>
    <t>Presentation preparation</t>
  </si>
  <si>
    <t>Prepared important insights for Laboratory's Meeting regarding SAP Portal</t>
  </si>
  <si>
    <t>Prepared important insights for Laboratory's Meeting regarding SAP Portal, as well as the project management working plan (process roadmap) for the further steps.</t>
  </si>
  <si>
    <t xml:space="preserve">Prepared project management working plan.
Presented important insghts regarding SAP Portal and Project Management Working Plan
Made adjustments in the main pc regarding Ollama's functionality
</t>
  </si>
  <si>
    <t>11:00 am - 1:00 pm</t>
  </si>
  <si>
    <t>Interacted with SAP portal and all actions regarding Orise documentation to complete all use cases</t>
  </si>
  <si>
    <t>SAP portal functionality documentation</t>
  </si>
  <si>
    <t>Elaborated documentation regarding how to use the SAP Portal for teammates, in way to help in the elaboration of all Use Cases</t>
  </si>
  <si>
    <t>Final adjustements and presentation of SAP Portal functionality documentation</t>
  </si>
  <si>
    <t>Did final adjustments on the SAP portal functionality documentation and presented it with teammates, received feedback for further presentation on Wednesday's meeting</t>
  </si>
  <si>
    <t>SAP portal functionality per Use Case documentation (based on feedback)</t>
  </si>
  <si>
    <t>1:30 pm - 2:15 pm</t>
  </si>
  <si>
    <t>Kept working on SAP Portal functionality documentation but based on the feedback, adapted to every Use Case's pathway  execution</t>
  </si>
  <si>
    <t>As there's no possibility to keep progressing on certain Use Cases due to problems with the SAP platform, it was decided to start the research for voice recognition. It also was discussed to talk with the company about more SAP accounts. An email was sent to the company</t>
  </si>
  <si>
    <t xml:space="preserve">Presented SAP portal functionality documentation to the professor and informed him about the current status regarding the work with SAP
Started with adjustments based on feedback from my teammates and the professor
</t>
  </si>
  <si>
    <t>Finished working on SAP Portal functionality documentation but based on the feedback, adapted to every Use Case's pathway  execution</t>
  </si>
  <si>
    <t>12:00 pm - 1:30 pm</t>
  </si>
  <si>
    <t>Research Voice-Recognition Methodologies</t>
  </si>
  <si>
    <t>1:00 pm - 3:00 pm
3:30 - 5:00 pm</t>
  </si>
  <si>
    <t>SAP portal functionality per Use Case documentation (based on feedback)
Implementation of Whisper</t>
  </si>
  <si>
    <t>Research Voice-Recognition Methodologies
Execution of selected methodology</t>
  </si>
  <si>
    <t>Kept with research regarding Voice-Recognition, selected one methodology and started working on it</t>
  </si>
  <si>
    <t>Voice-Recognition own methodology</t>
  </si>
  <si>
    <t>Installation - Voice-Recognition own methodology</t>
  </si>
  <si>
    <t>Kept working on finding a way to run my voice-recognition methodology on my own computer
Made some research about other possible methodologies</t>
  </si>
  <si>
    <t xml:space="preserve">Presented to professor complete functionality of "log-in" Use Case with my voice-recognition methodology (Whisper + Terminal)
Explained that with this methodology it's difficult to do the connection with N8N and alreay tried different methodologies
</t>
  </si>
  <si>
    <t>Continued with research about voice-recognition methodologies (specially about Whisper nad how to implement it)</t>
  </si>
  <si>
    <t>Started research about voice-recognition methodologies</t>
  </si>
  <si>
    <t>Sap access Issues
Dependencies Installation (laboratory's computer)</t>
  </si>
  <si>
    <t>Kept working in SAP portal functionality pero Use Case, but due to a lack of communication, an incorrect password was entered multiple times, so Daniel Bitdorf was contacted to grant access again.
Dependent softwares were installed on the lab computer (qorked with Slenium, connection with Python code and proper integration with N8N)</t>
  </si>
  <si>
    <t xml:space="preserve">Progress was reviewed, and the use of GitHub respository was defined.
Defined use of documentation to present it in the following meetings.
It was agreed to investigate about N8N and Selenium
</t>
  </si>
  <si>
    <t>Made important settings on Linux environment (main PC) for automation with Selenium
Collaborated in the installation of ChromeDriver in the main pc
Informed about the important insights of the week</t>
  </si>
  <si>
    <t>12:00 pm - 3:00 pm</t>
  </si>
  <si>
    <t>4:00 pm - 7:00 pm</t>
  </si>
  <si>
    <t>Continued with research and started with a method in Google Drive (working with Whisper)</t>
  </si>
  <si>
    <t>10:00 am - 1:30 pm</t>
  </si>
  <si>
    <t>Continued with research and descarted Google Drive's method due to lack of storage in it</t>
  </si>
  <si>
    <t>1:00 pm - 3:15 pm
4:00 pm - 4:30 pm</t>
  </si>
  <si>
    <t>Laboratory's Meeting
Voice-Recognition Own Methodology</t>
  </si>
  <si>
    <t>Installed dependencies, had problems running the code in my own computer
Made research about other otpions for Voice-Recognition</t>
  </si>
  <si>
    <t>As received feedback, the use of whisper / faster whisper was accepted with the only remaining point of connect it to N8N</t>
  </si>
  <si>
    <t>Voice-Recognition own methodology: Connect to N8N</t>
  </si>
  <si>
    <t>Kept working on methodology regarding conncetion with N8N and Python code (backend)</t>
  </si>
  <si>
    <t>3:00 pm - 5:00pm</t>
  </si>
  <si>
    <t>Voice-Recognition own methodology: Installation on main PC</t>
  </si>
  <si>
    <t xml:space="preserve">Finished own methodology for Voice-Recognition (in teammate's computer due to problems with my own pc)
Presented to teammates  functionality of "log in" Use Case with my voice-recognition methodology (Whisper + terminal), only with some issues in the code.
The set up of Github was established and it will be up and running by next week.
Worked on the remaining issues regarding Voice-Recongnition functionality, complete functionality is now working
</t>
  </si>
  <si>
    <t>Started installing dependencies in the main computer (laboratory), in way to have a place to work due to problems with my personal computer (I was working with a teammate's computer)</t>
  </si>
  <si>
    <t>Installation remaining things about Voice-Recognition methology in main pc</t>
  </si>
  <si>
    <t>3:00 pm - 6:00 pm</t>
  </si>
  <si>
    <t>Research: Voice Recognition connection with N8N</t>
  </si>
  <si>
    <t>Made some research regarding connection with actual Voice-Recognition methodology and N8N</t>
  </si>
  <si>
    <t>Completed installation of own Voice-Recognition methodology in main PC (laboratory)</t>
  </si>
  <si>
    <t>Kept working on doing research regarding connectivity with from my Voice-Recognition Methodology with N8N
Started working on Webhook methodology.
Researched about installations in Ubuntu</t>
  </si>
  <si>
    <t>1:00 pm - 4:00 pm</t>
  </si>
  <si>
    <t>Shared Status of the Project and Voice-Recognition methodology
Shared that I'm having a little bit of trouble with the methodology but I'll keep trying to solve it and depending on the results, the other option will be considered</t>
  </si>
  <si>
    <t>Informed about the project and Use Cases status
The other Voice-Recognition methodology was selected (not mine)</t>
  </si>
  <si>
    <t>10:00 pm - 2:30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</si>
</sst>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1" x14ac:knownFonts="1">
    <font>
      <sz val="11"/>
      <color theme="1"/>
      <name val="Aptos Narrow"/>
      <family val="2"/>
      <scheme val="minor"/>
    </font>
  </fonts>
  <fills count="2">
    <fill>
      <patternFill patternType="none"/>
    </fill>
    <fill>
      <patternFill patternType="gray125"/>
    </fill>
  </fills>
  <borders count="23">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45">
    <xf numFmtId="0" fontId="0" fillId="0" borderId="0" xfId="0"/>
    <xf numFmtId="0" fontId="0" fillId="0" borderId="0" xfId="0" applyAlignment="1">
      <alignment horizontal="center" vertical="center"/>
    </xf>
    <xf numFmtId="0" fontId="0" fillId="0" borderId="0" xfId="0" applyAlignment="1">
      <alignment vertical="center"/>
    </xf>
    <xf numFmtId="164" fontId="0" fillId="0" borderId="4" xfId="0" applyNumberFormat="1" applyBorder="1" applyAlignment="1">
      <alignment vertical="center"/>
    </xf>
    <xf numFmtId="0" fontId="0" fillId="0" borderId="1"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164" fontId="0" fillId="0" borderId="10" xfId="0" applyNumberFormat="1" applyBorder="1" applyAlignment="1">
      <alignment vertical="center"/>
    </xf>
    <xf numFmtId="0" fontId="0" fillId="0" borderId="9"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0" xfId="0" applyBorder="1" applyAlignment="1">
      <alignment horizontal="center" vertical="center"/>
    </xf>
    <xf numFmtId="20" fontId="0" fillId="0" borderId="14" xfId="0" applyNumberFormat="1" applyBorder="1" applyAlignment="1">
      <alignment horizontal="center" vertical="center" wrapText="1"/>
    </xf>
    <xf numFmtId="0" fontId="0" fillId="0" borderId="14" xfId="0" applyBorder="1" applyAlignment="1">
      <alignment horizontal="center" vertical="center" wrapText="1"/>
    </xf>
    <xf numFmtId="0" fontId="0" fillId="0" borderId="13" xfId="0" applyBorder="1" applyAlignment="1">
      <alignment horizontal="center" vertical="center" wrapText="1"/>
    </xf>
    <xf numFmtId="18" fontId="0" fillId="0" borderId="11" xfId="0" applyNumberFormat="1" applyBorder="1" applyAlignment="1">
      <alignment horizontal="center" vertical="center"/>
    </xf>
    <xf numFmtId="0" fontId="0" fillId="0" borderId="12"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wrapText="1"/>
    </xf>
    <xf numFmtId="164" fontId="0" fillId="0" borderId="9" xfId="0" applyNumberFormat="1" applyBorder="1" applyAlignment="1">
      <alignment horizontal="center" vertical="center"/>
    </xf>
    <xf numFmtId="164" fontId="0" fillId="0" borderId="10" xfId="0" applyNumberFormat="1" applyBorder="1" applyAlignment="1">
      <alignment horizontal="center" vertical="center"/>
    </xf>
    <xf numFmtId="164" fontId="0" fillId="0" borderId="1" xfId="0" applyNumberFormat="1" applyBorder="1" applyAlignment="1">
      <alignment horizontal="center" vertical="center"/>
    </xf>
    <xf numFmtId="0" fontId="0" fillId="0" borderId="11" xfId="0"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4" xfId="0" applyBorder="1" applyAlignment="1">
      <alignment horizontal="center" vertical="center"/>
    </xf>
    <xf numFmtId="0" fontId="0" fillId="0" borderId="8" xfId="0" applyBorder="1" applyAlignment="1">
      <alignment horizontal="center" vertical="center"/>
    </xf>
    <xf numFmtId="0" fontId="0" fillId="0" borderId="7"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355ED-6456-4D6D-ADEC-D6D96E08EAA7}">
  <dimension ref="A1:AI25"/>
  <sheetViews>
    <sheetView tabSelected="1" topLeftCell="AC13" zoomScale="58" workbookViewId="0">
      <selection activeCell="V15" sqref="V15"/>
    </sheetView>
  </sheetViews>
  <sheetFormatPr defaultRowHeight="14.4" x14ac:dyDescent="0.3"/>
  <cols>
    <col min="1" max="1" width="20.44140625" style="1" bestFit="1" customWidth="1"/>
    <col min="2" max="2" width="20.44140625" bestFit="1" customWidth="1"/>
    <col min="3" max="3" width="8.88671875" style="1"/>
    <col min="4" max="4" width="20.21875" style="1" bestFit="1" customWidth="1"/>
    <col min="5" max="5" width="10.109375" style="1" customWidth="1"/>
    <col min="6" max="6" width="42" style="1" bestFit="1" customWidth="1"/>
    <col min="7" max="7" width="39.77734375" style="1" customWidth="1"/>
    <col min="8" max="8" width="20" style="1" bestFit="1" customWidth="1"/>
    <col min="9" max="9" width="9.5546875" style="1" customWidth="1"/>
    <col min="10" max="11" width="39.77734375" style="1" customWidth="1"/>
    <col min="12" max="12" width="20.44140625" style="1" bestFit="1" customWidth="1"/>
    <col min="13" max="13" width="9.5546875" style="1" customWidth="1"/>
    <col min="14" max="15" width="39.77734375" style="1" customWidth="1"/>
    <col min="16" max="16" width="18.88671875" style="1" customWidth="1"/>
    <col min="17" max="17" width="12.6640625" style="1" customWidth="1"/>
    <col min="18" max="19" width="39.77734375" style="1" customWidth="1"/>
    <col min="20" max="20" width="18.6640625" style="1" bestFit="1" customWidth="1"/>
    <col min="21" max="21" width="10.33203125" style="1" customWidth="1"/>
    <col min="22" max="23" width="39.77734375" style="1" customWidth="1"/>
    <col min="24" max="24" width="20" style="1" bestFit="1" customWidth="1"/>
    <col min="25" max="25" width="10.109375" style="1" customWidth="1"/>
    <col min="26" max="26" width="45.88671875" style="1" bestFit="1" customWidth="1"/>
    <col min="27" max="27" width="39.77734375" style="1" customWidth="1"/>
    <col min="28" max="28" width="19.6640625" style="1" bestFit="1" customWidth="1"/>
    <col min="29" max="29" width="10.109375" style="1" customWidth="1"/>
    <col min="30" max="31" width="39.77734375" style="1" customWidth="1"/>
    <col min="32" max="32" width="12.77734375" style="1" bestFit="1" customWidth="1"/>
  </cols>
  <sheetData>
    <row r="1" spans="1:35" ht="15" thickBot="1" x14ac:dyDescent="0.35">
      <c r="F1" s="1" t="s">
        <v>1</v>
      </c>
    </row>
    <row r="2" spans="1:35" s="2" customFormat="1" ht="15" thickBot="1" x14ac:dyDescent="0.35">
      <c r="A2" s="43" t="s">
        <v>30</v>
      </c>
      <c r="B2" s="44"/>
      <c r="C2" s="4" t="s">
        <v>0</v>
      </c>
      <c r="D2" s="40" t="s">
        <v>2</v>
      </c>
      <c r="E2" s="41"/>
      <c r="F2" s="41"/>
      <c r="G2" s="42"/>
      <c r="H2" s="40" t="s">
        <v>3</v>
      </c>
      <c r="I2" s="41"/>
      <c r="J2" s="41"/>
      <c r="K2" s="42"/>
      <c r="L2" s="40" t="s">
        <v>4</v>
      </c>
      <c r="M2" s="41"/>
      <c r="N2" s="41"/>
      <c r="O2" s="42"/>
      <c r="P2" s="40" t="s">
        <v>5</v>
      </c>
      <c r="Q2" s="41"/>
      <c r="R2" s="41"/>
      <c r="S2" s="42"/>
      <c r="T2" s="40" t="s">
        <v>6</v>
      </c>
      <c r="U2" s="41"/>
      <c r="V2" s="41"/>
      <c r="W2" s="42"/>
      <c r="X2" s="40" t="s">
        <v>7</v>
      </c>
      <c r="Y2" s="41"/>
      <c r="Z2" s="41"/>
      <c r="AA2" s="42"/>
      <c r="AB2" s="40" t="s">
        <v>8</v>
      </c>
      <c r="AC2" s="41"/>
      <c r="AD2" s="41"/>
      <c r="AE2" s="42"/>
      <c r="AF2" s="38" t="s">
        <v>9</v>
      </c>
    </row>
    <row r="3" spans="1:35" s="2" customFormat="1" ht="29.4" thickBot="1" x14ac:dyDescent="0.35">
      <c r="A3" s="25" t="s">
        <v>31</v>
      </c>
      <c r="B3" s="26" t="s">
        <v>32</v>
      </c>
      <c r="C3" s="27"/>
      <c r="D3" s="28" t="s">
        <v>12</v>
      </c>
      <c r="E3" s="29" t="s">
        <v>13</v>
      </c>
      <c r="F3" s="30" t="s">
        <v>14</v>
      </c>
      <c r="G3" s="31" t="s">
        <v>35</v>
      </c>
      <c r="H3" s="32" t="s">
        <v>12</v>
      </c>
      <c r="I3" s="29" t="s">
        <v>13</v>
      </c>
      <c r="J3" s="30" t="s">
        <v>14</v>
      </c>
      <c r="K3" s="31" t="s">
        <v>35</v>
      </c>
      <c r="L3" s="32" t="s">
        <v>12</v>
      </c>
      <c r="M3" s="29" t="s">
        <v>13</v>
      </c>
      <c r="N3" s="30" t="s">
        <v>14</v>
      </c>
      <c r="O3" s="31" t="s">
        <v>35</v>
      </c>
      <c r="P3" s="32" t="s">
        <v>12</v>
      </c>
      <c r="Q3" s="29" t="s">
        <v>13</v>
      </c>
      <c r="R3" s="30" t="s">
        <v>14</v>
      </c>
      <c r="S3" s="31" t="s">
        <v>35</v>
      </c>
      <c r="T3" s="32" t="s">
        <v>12</v>
      </c>
      <c r="U3" s="29" t="s">
        <v>13</v>
      </c>
      <c r="V3" s="30" t="s">
        <v>14</v>
      </c>
      <c r="W3" s="31" t="s">
        <v>35</v>
      </c>
      <c r="X3" s="32" t="s">
        <v>12</v>
      </c>
      <c r="Y3" s="29" t="s">
        <v>13</v>
      </c>
      <c r="Z3" s="30" t="s">
        <v>14</v>
      </c>
      <c r="AA3" s="31" t="s">
        <v>35</v>
      </c>
      <c r="AB3" s="32" t="s">
        <v>12</v>
      </c>
      <c r="AC3" s="29" t="s">
        <v>13</v>
      </c>
      <c r="AD3" s="30" t="s">
        <v>14</v>
      </c>
      <c r="AE3" s="31" t="s">
        <v>35</v>
      </c>
      <c r="AF3" s="39"/>
    </row>
    <row r="4" spans="1:35" s="2" customFormat="1" ht="15" thickBot="1" x14ac:dyDescent="0.35">
      <c r="A4" s="35">
        <v>45929</v>
      </c>
      <c r="B4" s="3">
        <v>45935</v>
      </c>
      <c r="C4" s="4">
        <v>1</v>
      </c>
      <c r="D4" s="5"/>
      <c r="E4" s="6"/>
      <c r="F4" s="6"/>
      <c r="G4" s="7"/>
      <c r="H4" s="8"/>
      <c r="I4" s="6"/>
      <c r="J4" s="6"/>
      <c r="K4" s="7"/>
      <c r="L4" s="8"/>
      <c r="M4" s="6"/>
      <c r="N4" s="6"/>
      <c r="O4" s="7"/>
      <c r="P4" s="8"/>
      <c r="Q4" s="6"/>
      <c r="R4" s="6"/>
      <c r="S4" s="7"/>
      <c r="T4" s="8"/>
      <c r="U4" s="6"/>
      <c r="V4" s="6"/>
      <c r="W4" s="7"/>
      <c r="X4" s="8"/>
      <c r="Y4" s="6"/>
      <c r="Z4" s="6"/>
      <c r="AA4" s="7"/>
      <c r="AB4" s="8"/>
      <c r="AC4" s="6"/>
      <c r="AD4" s="6"/>
      <c r="AE4" s="7"/>
      <c r="AF4" s="9">
        <f t="shared" ref="AF4:AF18" si="0">SUM(AC4+Y4+U4+Q4+M4+I4+E4)</f>
        <v>0</v>
      </c>
    </row>
    <row r="5" spans="1:35" s="2" customFormat="1" ht="57.6" customHeight="1" thickBot="1" x14ac:dyDescent="0.35">
      <c r="A5" s="35">
        <f>B4+1</f>
        <v>45936</v>
      </c>
      <c r="B5" s="3">
        <f>B4+7</f>
        <v>45942</v>
      </c>
      <c r="C5" s="4">
        <v>2</v>
      </c>
      <c r="D5" s="5"/>
      <c r="E5" s="6"/>
      <c r="F5" s="6"/>
      <c r="G5" s="7"/>
      <c r="H5" s="8"/>
      <c r="I5" s="6"/>
      <c r="J5" s="6"/>
      <c r="K5" s="7"/>
      <c r="L5" s="8" t="s">
        <v>15</v>
      </c>
      <c r="M5" s="6">
        <v>0.5</v>
      </c>
      <c r="N5" s="10" t="s">
        <v>33</v>
      </c>
      <c r="O5" s="11" t="s">
        <v>39</v>
      </c>
      <c r="P5" s="8"/>
      <c r="Q5" s="6"/>
      <c r="R5" s="6"/>
      <c r="S5" s="7"/>
      <c r="T5" s="8"/>
      <c r="U5" s="6"/>
      <c r="V5" s="6"/>
      <c r="W5" s="7"/>
      <c r="X5" s="8"/>
      <c r="Y5" s="6"/>
      <c r="Z5" s="6"/>
      <c r="AA5" s="7"/>
      <c r="AB5" s="8"/>
      <c r="AC5" s="6"/>
      <c r="AD5" s="6"/>
      <c r="AE5" s="7"/>
      <c r="AF5" s="9">
        <f t="shared" si="0"/>
        <v>0.5</v>
      </c>
    </row>
    <row r="6" spans="1:35" s="2" customFormat="1" ht="133.19999999999999" customHeight="1" thickBot="1" x14ac:dyDescent="0.35">
      <c r="A6" s="35">
        <f>B5+1</f>
        <v>45943</v>
      </c>
      <c r="B6" s="3">
        <f t="shared" ref="B6:B15" si="1">B5+7</f>
        <v>45949</v>
      </c>
      <c r="C6" s="4">
        <v>3</v>
      </c>
      <c r="D6" s="5"/>
      <c r="E6" s="6"/>
      <c r="F6" s="6"/>
      <c r="G6" s="7"/>
      <c r="H6" s="8"/>
      <c r="I6" s="6"/>
      <c r="J6" s="6"/>
      <c r="K6" s="7"/>
      <c r="L6" s="8" t="s">
        <v>16</v>
      </c>
      <c r="M6" s="6">
        <v>3</v>
      </c>
      <c r="N6" s="10" t="s">
        <v>40</v>
      </c>
      <c r="O6" s="11" t="s">
        <v>41</v>
      </c>
      <c r="P6" s="8" t="s">
        <v>24</v>
      </c>
      <c r="Q6" s="6">
        <v>2.75</v>
      </c>
      <c r="R6" s="10" t="s">
        <v>37</v>
      </c>
      <c r="S6" s="11" t="s">
        <v>38</v>
      </c>
      <c r="T6" s="6" t="s">
        <v>10</v>
      </c>
      <c r="U6" s="6">
        <v>3</v>
      </c>
      <c r="V6" s="12" t="s">
        <v>78</v>
      </c>
      <c r="W6" s="12" t="s">
        <v>34</v>
      </c>
      <c r="X6" s="12"/>
      <c r="Y6" s="6"/>
      <c r="Z6" s="6"/>
      <c r="AA6" s="7"/>
      <c r="AB6" s="8"/>
      <c r="AC6" s="6"/>
      <c r="AD6" s="6"/>
      <c r="AE6" s="7"/>
      <c r="AF6" s="9">
        <f t="shared" si="0"/>
        <v>8.75</v>
      </c>
    </row>
    <row r="7" spans="1:35" s="1" customFormat="1" ht="103.2" customHeight="1" thickBot="1" x14ac:dyDescent="0.35">
      <c r="A7" s="33">
        <f t="shared" ref="A7:A15" si="2">B6+1</f>
        <v>45950</v>
      </c>
      <c r="B7" s="34">
        <f t="shared" si="1"/>
        <v>45956</v>
      </c>
      <c r="C7" s="14">
        <v>4</v>
      </c>
      <c r="D7" s="15" t="s">
        <v>11</v>
      </c>
      <c r="E7" s="16">
        <v>1.5</v>
      </c>
      <c r="F7" s="24" t="s">
        <v>74</v>
      </c>
      <c r="G7" s="22" t="s">
        <v>75</v>
      </c>
      <c r="H7" s="18"/>
      <c r="I7" s="16"/>
      <c r="J7" s="16" t="s">
        <v>18</v>
      </c>
      <c r="K7" s="17" t="s">
        <v>18</v>
      </c>
      <c r="L7" s="18" t="s">
        <v>17</v>
      </c>
      <c r="M7" s="16">
        <v>1.5</v>
      </c>
      <c r="N7" s="16" t="s">
        <v>51</v>
      </c>
      <c r="O7" s="22" t="s">
        <v>111</v>
      </c>
      <c r="P7" s="18" t="s">
        <v>24</v>
      </c>
      <c r="Q7" s="16">
        <v>2.75</v>
      </c>
      <c r="R7" s="16" t="s">
        <v>76</v>
      </c>
      <c r="S7" s="22" t="s">
        <v>77</v>
      </c>
      <c r="T7" s="18"/>
      <c r="U7" s="16"/>
      <c r="V7" s="16"/>
      <c r="W7" s="17"/>
      <c r="X7" s="8" t="s">
        <v>23</v>
      </c>
      <c r="Y7" s="6">
        <v>2</v>
      </c>
      <c r="Z7" s="6" t="s">
        <v>79</v>
      </c>
      <c r="AA7" s="11" t="s">
        <v>80</v>
      </c>
      <c r="AB7" s="18" t="s">
        <v>19</v>
      </c>
      <c r="AC7" s="16">
        <v>2.5</v>
      </c>
      <c r="AD7" s="16" t="s">
        <v>20</v>
      </c>
      <c r="AE7" s="22" t="s">
        <v>73</v>
      </c>
      <c r="AF7" s="19">
        <f t="shared" si="0"/>
        <v>10.25</v>
      </c>
    </row>
    <row r="8" spans="1:35" s="2" customFormat="1" ht="87" thickBot="1" x14ac:dyDescent="0.35">
      <c r="A8" s="33">
        <f t="shared" si="2"/>
        <v>45957</v>
      </c>
      <c r="B8" s="13">
        <f t="shared" si="1"/>
        <v>45963</v>
      </c>
      <c r="C8" s="14">
        <v>5</v>
      </c>
      <c r="D8" s="15" t="s">
        <v>21</v>
      </c>
      <c r="E8" s="16">
        <v>1.5</v>
      </c>
      <c r="F8" s="16" t="s">
        <v>81</v>
      </c>
      <c r="G8" s="22" t="s">
        <v>82</v>
      </c>
      <c r="H8" s="18" t="s">
        <v>21</v>
      </c>
      <c r="I8" s="16">
        <v>1.5</v>
      </c>
      <c r="J8" s="16" t="s">
        <v>81</v>
      </c>
      <c r="K8" s="22" t="s">
        <v>83</v>
      </c>
      <c r="L8" s="20" t="s">
        <v>22</v>
      </c>
      <c r="M8" s="16">
        <v>5</v>
      </c>
      <c r="N8" s="16" t="s">
        <v>51</v>
      </c>
      <c r="O8" s="22" t="s">
        <v>84</v>
      </c>
      <c r="P8" s="18" t="s">
        <v>85</v>
      </c>
      <c r="Q8" s="16">
        <v>2</v>
      </c>
      <c r="R8" s="16" t="s">
        <v>79</v>
      </c>
      <c r="S8" s="22" t="s">
        <v>86</v>
      </c>
      <c r="T8" s="18"/>
      <c r="U8" s="16"/>
      <c r="V8" s="16"/>
      <c r="W8" s="17"/>
      <c r="X8" s="18"/>
      <c r="Y8" s="16"/>
      <c r="Z8" s="16"/>
      <c r="AA8" s="17"/>
      <c r="AB8" s="18"/>
      <c r="AC8" s="16"/>
      <c r="AD8" s="16"/>
      <c r="AE8" s="17"/>
      <c r="AF8" s="19">
        <f t="shared" si="0"/>
        <v>10</v>
      </c>
    </row>
    <row r="9" spans="1:35" s="2" customFormat="1" ht="105.6" customHeight="1" thickBot="1" x14ac:dyDescent="0.35">
      <c r="A9" s="33">
        <f t="shared" si="2"/>
        <v>45964</v>
      </c>
      <c r="B9" s="13">
        <f t="shared" si="1"/>
        <v>45970</v>
      </c>
      <c r="C9" s="14">
        <v>6</v>
      </c>
      <c r="D9" s="15" t="s">
        <v>27</v>
      </c>
      <c r="E9" s="16">
        <v>2</v>
      </c>
      <c r="F9" s="16" t="s">
        <v>87</v>
      </c>
      <c r="G9" s="22" t="s">
        <v>88</v>
      </c>
      <c r="H9" s="21" t="s">
        <v>28</v>
      </c>
      <c r="I9" s="16">
        <v>4.5</v>
      </c>
      <c r="J9" s="24" t="s">
        <v>89</v>
      </c>
      <c r="K9" s="22" t="s">
        <v>90</v>
      </c>
      <c r="L9" s="18" t="s">
        <v>16</v>
      </c>
      <c r="M9" s="16">
        <v>3</v>
      </c>
      <c r="N9" s="16" t="s">
        <v>51</v>
      </c>
      <c r="O9" s="22" t="s">
        <v>95</v>
      </c>
      <c r="P9" s="18"/>
      <c r="Q9" s="16"/>
      <c r="R9" s="16"/>
      <c r="S9" s="17"/>
      <c r="T9" s="18"/>
      <c r="U9" s="16"/>
      <c r="V9" s="16"/>
      <c r="W9" s="17"/>
      <c r="X9" s="18"/>
      <c r="Y9" s="16"/>
      <c r="Z9" s="16"/>
      <c r="AA9" s="17"/>
      <c r="AB9" s="18"/>
      <c r="AC9" s="16"/>
      <c r="AD9" s="16"/>
      <c r="AE9" s="17"/>
      <c r="AF9" s="19">
        <f t="shared" si="0"/>
        <v>9.5</v>
      </c>
    </row>
    <row r="10" spans="1:35" s="2" customFormat="1" ht="121.2" customHeight="1" thickBot="1" x14ac:dyDescent="0.35">
      <c r="A10" s="33">
        <f t="shared" si="2"/>
        <v>45971</v>
      </c>
      <c r="B10" s="13">
        <f t="shared" si="1"/>
        <v>45977</v>
      </c>
      <c r="C10" s="14">
        <v>7</v>
      </c>
      <c r="D10" s="15" t="s">
        <v>27</v>
      </c>
      <c r="E10" s="16">
        <v>2</v>
      </c>
      <c r="F10" s="24" t="s">
        <v>91</v>
      </c>
      <c r="G10" s="22" t="s">
        <v>93</v>
      </c>
      <c r="H10" s="21" t="s">
        <v>25</v>
      </c>
      <c r="I10" s="16">
        <v>3.5</v>
      </c>
      <c r="J10" s="24" t="s">
        <v>109</v>
      </c>
      <c r="K10" s="22" t="s">
        <v>110</v>
      </c>
      <c r="L10" s="20" t="s">
        <v>26</v>
      </c>
      <c r="M10" s="16">
        <v>4.5</v>
      </c>
      <c r="N10" s="16" t="s">
        <v>51</v>
      </c>
      <c r="O10" s="22" t="s">
        <v>112</v>
      </c>
      <c r="P10" s="18"/>
      <c r="Q10" s="16"/>
      <c r="R10" s="16" t="s">
        <v>18</v>
      </c>
      <c r="S10" s="17"/>
      <c r="T10" s="18"/>
      <c r="U10" s="16"/>
      <c r="V10" s="16"/>
      <c r="W10" s="17"/>
      <c r="X10" s="18"/>
      <c r="Y10" s="16"/>
      <c r="Z10" s="16"/>
      <c r="AA10" s="22"/>
      <c r="AB10" s="18"/>
      <c r="AC10" s="16"/>
      <c r="AD10" s="16"/>
      <c r="AE10" s="17"/>
      <c r="AF10" s="19">
        <f t="shared" si="0"/>
        <v>10</v>
      </c>
      <c r="AI10" s="2" t="s">
        <v>18</v>
      </c>
    </row>
    <row r="11" spans="1:35" s="2" customFormat="1" ht="141.6" customHeight="1" thickBot="1" x14ac:dyDescent="0.35">
      <c r="A11" s="33">
        <f t="shared" si="2"/>
        <v>45978</v>
      </c>
      <c r="B11" s="13">
        <f t="shared" si="1"/>
        <v>45984</v>
      </c>
      <c r="C11" s="14">
        <v>8</v>
      </c>
      <c r="D11" s="36" t="s">
        <v>99</v>
      </c>
      <c r="E11" s="16">
        <v>4</v>
      </c>
      <c r="F11" s="24" t="s">
        <v>100</v>
      </c>
      <c r="G11" s="22" t="s">
        <v>96</v>
      </c>
      <c r="H11" s="18"/>
      <c r="I11" s="16"/>
      <c r="J11" s="24"/>
      <c r="K11" s="17" t="s">
        <v>18</v>
      </c>
      <c r="L11" s="18" t="s">
        <v>29</v>
      </c>
      <c r="M11" s="16">
        <v>1.5</v>
      </c>
      <c r="N11" s="16" t="s">
        <v>51</v>
      </c>
      <c r="O11" s="22" t="s">
        <v>94</v>
      </c>
      <c r="P11" s="18"/>
      <c r="Q11" s="16"/>
      <c r="R11" s="16"/>
      <c r="S11" s="17"/>
      <c r="T11" s="18"/>
      <c r="U11" s="16"/>
      <c r="V11" s="16"/>
      <c r="W11" s="17"/>
      <c r="X11" s="18" t="s">
        <v>113</v>
      </c>
      <c r="Y11" s="16">
        <v>3</v>
      </c>
      <c r="Z11" s="16" t="s">
        <v>98</v>
      </c>
      <c r="AA11" s="22" t="s">
        <v>108</v>
      </c>
      <c r="AB11" s="16" t="s">
        <v>114</v>
      </c>
      <c r="AC11" s="16">
        <v>3</v>
      </c>
      <c r="AD11" s="16" t="s">
        <v>98</v>
      </c>
      <c r="AE11" s="22" t="s">
        <v>115</v>
      </c>
      <c r="AF11" s="19">
        <f t="shared" si="0"/>
        <v>11.5</v>
      </c>
    </row>
    <row r="12" spans="1:35" s="2" customFormat="1" ht="86.4" customHeight="1" thickBot="1" x14ac:dyDescent="0.35">
      <c r="A12" s="33">
        <f t="shared" si="2"/>
        <v>45985</v>
      </c>
      <c r="B12" s="13">
        <f t="shared" si="1"/>
        <v>45991</v>
      </c>
      <c r="C12" s="14">
        <v>9</v>
      </c>
      <c r="D12" s="36" t="s">
        <v>116</v>
      </c>
      <c r="E12" s="16">
        <v>3.5</v>
      </c>
      <c r="F12" s="16" t="s">
        <v>103</v>
      </c>
      <c r="G12" s="22" t="s">
        <v>117</v>
      </c>
      <c r="H12" s="15" t="s">
        <v>116</v>
      </c>
      <c r="I12" s="16">
        <v>3.5</v>
      </c>
      <c r="J12" s="16" t="s">
        <v>103</v>
      </c>
      <c r="K12" s="22" t="s">
        <v>105</v>
      </c>
      <c r="L12" s="18" t="s">
        <v>92</v>
      </c>
      <c r="M12" s="16">
        <v>0.75</v>
      </c>
      <c r="N12" s="16" t="s">
        <v>51</v>
      </c>
      <c r="O12" s="22" t="s">
        <v>121</v>
      </c>
      <c r="P12" s="18"/>
      <c r="Q12" s="16"/>
      <c r="R12" s="16"/>
      <c r="S12" s="17"/>
      <c r="T12" s="18"/>
      <c r="U12" s="16"/>
      <c r="V12" s="16"/>
      <c r="W12" s="17"/>
      <c r="X12" s="18" t="s">
        <v>97</v>
      </c>
      <c r="Y12" s="16">
        <v>1.5</v>
      </c>
      <c r="Z12" s="24" t="s">
        <v>101</v>
      </c>
      <c r="AA12" s="22" t="s">
        <v>107</v>
      </c>
      <c r="AB12" s="18" t="s">
        <v>49</v>
      </c>
      <c r="AC12" s="16">
        <v>1.5</v>
      </c>
      <c r="AD12" s="22" t="s">
        <v>102</v>
      </c>
      <c r="AE12" s="17"/>
      <c r="AF12" s="19">
        <f t="shared" si="0"/>
        <v>10.75</v>
      </c>
    </row>
    <row r="13" spans="1:35" s="2" customFormat="1" ht="183" customHeight="1" thickBot="1" x14ac:dyDescent="0.35">
      <c r="A13" s="33">
        <f t="shared" si="2"/>
        <v>45992</v>
      </c>
      <c r="B13" s="13">
        <f t="shared" si="1"/>
        <v>45998</v>
      </c>
      <c r="C13" s="14">
        <v>10</v>
      </c>
      <c r="D13" s="15" t="s">
        <v>71</v>
      </c>
      <c r="E13" s="16">
        <v>3</v>
      </c>
      <c r="F13" s="24" t="s">
        <v>104</v>
      </c>
      <c r="G13" s="22" t="s">
        <v>120</v>
      </c>
      <c r="H13" s="16" t="s">
        <v>124</v>
      </c>
      <c r="I13" s="17">
        <v>2</v>
      </c>
      <c r="J13" s="22" t="s">
        <v>122</v>
      </c>
      <c r="K13" s="22" t="s">
        <v>123</v>
      </c>
      <c r="L13" s="21" t="s">
        <v>118</v>
      </c>
      <c r="M13" s="16">
        <v>2.75</v>
      </c>
      <c r="N13" s="24" t="s">
        <v>119</v>
      </c>
      <c r="O13" s="22" t="s">
        <v>126</v>
      </c>
      <c r="P13" s="18"/>
      <c r="Q13" s="16"/>
      <c r="R13" s="16"/>
      <c r="S13" s="17"/>
      <c r="T13" s="18"/>
      <c r="U13" s="16"/>
      <c r="V13" s="16"/>
      <c r="W13" s="17"/>
      <c r="X13" s="18"/>
      <c r="Y13" s="16"/>
      <c r="Z13" s="16"/>
      <c r="AA13" s="17"/>
      <c r="AB13" s="18"/>
      <c r="AC13" s="16"/>
      <c r="AD13" s="16"/>
      <c r="AE13" s="17"/>
      <c r="AF13" s="19">
        <f t="shared" si="0"/>
        <v>7.75</v>
      </c>
    </row>
    <row r="14" spans="1:35" s="2" customFormat="1" ht="114" customHeight="1" thickBot="1" x14ac:dyDescent="0.35">
      <c r="A14" s="33">
        <f t="shared" si="2"/>
        <v>45999</v>
      </c>
      <c r="B14" s="13">
        <f t="shared" si="1"/>
        <v>46005</v>
      </c>
      <c r="C14" s="14">
        <v>11</v>
      </c>
      <c r="D14" s="15"/>
      <c r="E14" s="16"/>
      <c r="F14" s="16" t="s">
        <v>18</v>
      </c>
      <c r="G14" s="17"/>
      <c r="H14" s="16" t="s">
        <v>124</v>
      </c>
      <c r="I14" s="17">
        <v>2</v>
      </c>
      <c r="J14" s="22" t="s">
        <v>125</v>
      </c>
      <c r="K14" s="22" t="s">
        <v>127</v>
      </c>
      <c r="L14" s="18" t="s">
        <v>64</v>
      </c>
      <c r="M14" s="16">
        <v>0.75</v>
      </c>
      <c r="N14" s="16" t="s">
        <v>51</v>
      </c>
      <c r="O14" s="22" t="s">
        <v>106</v>
      </c>
      <c r="P14" s="18"/>
      <c r="Q14" s="16"/>
      <c r="R14" s="16"/>
      <c r="S14" s="17"/>
      <c r="T14" s="18"/>
      <c r="U14" s="16"/>
      <c r="V14" s="16"/>
      <c r="W14" s="17"/>
      <c r="X14" s="18"/>
      <c r="Y14" s="16"/>
      <c r="Z14" s="16"/>
      <c r="AA14" s="17"/>
      <c r="AB14" s="18" t="s">
        <v>129</v>
      </c>
      <c r="AC14" s="16">
        <v>3</v>
      </c>
      <c r="AD14" s="24" t="s">
        <v>130</v>
      </c>
      <c r="AE14" s="22" t="s">
        <v>131</v>
      </c>
      <c r="AF14" s="19">
        <f t="shared" si="0"/>
        <v>5.75</v>
      </c>
    </row>
    <row r="15" spans="1:35" s="2" customFormat="1" ht="118.2" customHeight="1" thickBot="1" x14ac:dyDescent="0.35">
      <c r="A15" s="33">
        <f t="shared" si="2"/>
        <v>46006</v>
      </c>
      <c r="B15" s="13">
        <f t="shared" si="1"/>
        <v>46012</v>
      </c>
      <c r="C15" s="14">
        <v>12</v>
      </c>
      <c r="D15" s="15" t="s">
        <v>134</v>
      </c>
      <c r="E15" s="16">
        <v>3</v>
      </c>
      <c r="F15" s="24" t="s">
        <v>130</v>
      </c>
      <c r="G15" s="22" t="s">
        <v>133</v>
      </c>
      <c r="H15" s="18"/>
      <c r="I15" s="16"/>
      <c r="J15" s="16"/>
      <c r="K15" s="17"/>
      <c r="L15" s="18" t="s">
        <v>64</v>
      </c>
      <c r="M15" s="16">
        <v>0.75</v>
      </c>
      <c r="N15" s="16" t="s">
        <v>51</v>
      </c>
      <c r="O15" s="22" t="s">
        <v>135</v>
      </c>
      <c r="P15" s="18"/>
      <c r="Q15" s="16"/>
      <c r="R15" s="16"/>
      <c r="S15" s="17"/>
      <c r="T15" s="18" t="s">
        <v>16</v>
      </c>
      <c r="U15" s="16">
        <v>3</v>
      </c>
      <c r="V15" s="24" t="s">
        <v>128</v>
      </c>
      <c r="W15" s="22" t="s">
        <v>132</v>
      </c>
      <c r="X15" s="18"/>
      <c r="Y15" s="16"/>
      <c r="Z15" s="16"/>
      <c r="AA15" s="17"/>
      <c r="AB15" s="18"/>
      <c r="AC15" s="16"/>
      <c r="AD15" s="16"/>
      <c r="AE15" s="17"/>
      <c r="AF15" s="19">
        <f t="shared" si="0"/>
        <v>6.75</v>
      </c>
    </row>
    <row r="16" spans="1:35" s="2" customFormat="1" ht="87" thickBot="1" x14ac:dyDescent="0.35">
      <c r="A16" s="33">
        <v>46027</v>
      </c>
      <c r="B16" s="13">
        <v>46033</v>
      </c>
      <c r="C16" s="14">
        <v>13</v>
      </c>
      <c r="D16" s="15" t="s">
        <v>69</v>
      </c>
      <c r="E16" s="16">
        <v>2.75</v>
      </c>
      <c r="F16" s="24" t="s">
        <v>68</v>
      </c>
      <c r="G16" s="22" t="s">
        <v>70</v>
      </c>
      <c r="H16" s="18" t="s">
        <v>63</v>
      </c>
      <c r="I16" s="16">
        <v>1.25</v>
      </c>
      <c r="J16" s="24" t="s">
        <v>65</v>
      </c>
      <c r="K16" s="22" t="s">
        <v>67</v>
      </c>
      <c r="L16" s="18" t="s">
        <v>64</v>
      </c>
      <c r="M16" s="16">
        <v>0.75</v>
      </c>
      <c r="N16" s="16" t="s">
        <v>51</v>
      </c>
      <c r="O16" s="22" t="s">
        <v>136</v>
      </c>
      <c r="P16" s="18"/>
      <c r="Q16" s="16"/>
      <c r="R16" s="16"/>
      <c r="S16" s="17"/>
      <c r="T16" s="18"/>
      <c r="U16" s="16"/>
      <c r="V16" s="16"/>
      <c r="W16" s="17"/>
      <c r="X16" s="21" t="s">
        <v>62</v>
      </c>
      <c r="Y16" s="16">
        <v>6.25</v>
      </c>
      <c r="Z16" s="24" t="s">
        <v>55</v>
      </c>
      <c r="AA16" s="22" t="s">
        <v>56</v>
      </c>
      <c r="AB16" s="18" t="s">
        <v>27</v>
      </c>
      <c r="AC16" s="16">
        <v>2.5</v>
      </c>
      <c r="AD16" s="24" t="s">
        <v>58</v>
      </c>
      <c r="AE16" s="22" t="s">
        <v>59</v>
      </c>
      <c r="AF16" s="19">
        <f t="shared" si="0"/>
        <v>13.5</v>
      </c>
    </row>
    <row r="17" spans="1:32" s="2" customFormat="1" ht="103.8" customHeight="1" thickBot="1" x14ac:dyDescent="0.35">
      <c r="A17" s="33">
        <f>B16+1</f>
        <v>46034</v>
      </c>
      <c r="B17" s="13">
        <f>B16+7</f>
        <v>46040</v>
      </c>
      <c r="C17" s="14">
        <v>14</v>
      </c>
      <c r="D17" s="15" t="s">
        <v>60</v>
      </c>
      <c r="E17" s="16">
        <v>2.75</v>
      </c>
      <c r="F17" s="24" t="s">
        <v>65</v>
      </c>
      <c r="G17" s="22" t="s">
        <v>66</v>
      </c>
      <c r="H17" s="18" t="s">
        <v>61</v>
      </c>
      <c r="I17" s="16">
        <v>5.5</v>
      </c>
      <c r="J17" s="24" t="s">
        <v>65</v>
      </c>
      <c r="K17" s="22" t="s">
        <v>72</v>
      </c>
      <c r="L17" s="21" t="s">
        <v>52</v>
      </c>
      <c r="M17" s="16">
        <v>5.75</v>
      </c>
      <c r="N17" s="24" t="s">
        <v>53</v>
      </c>
      <c r="O17" s="22" t="s">
        <v>54</v>
      </c>
      <c r="P17" s="18"/>
      <c r="Q17" s="16"/>
      <c r="R17" s="16"/>
      <c r="S17" s="17"/>
      <c r="T17" s="18"/>
      <c r="U17" s="16"/>
      <c r="V17" s="16"/>
      <c r="W17" s="17"/>
      <c r="X17" s="18" t="s">
        <v>49</v>
      </c>
      <c r="Y17" s="16">
        <v>1.5</v>
      </c>
      <c r="Z17" s="24" t="s">
        <v>58</v>
      </c>
      <c r="AA17" s="22" t="s">
        <v>50</v>
      </c>
      <c r="AB17" s="21" t="s">
        <v>47</v>
      </c>
      <c r="AC17" s="16">
        <v>6.25</v>
      </c>
      <c r="AD17" s="24" t="s">
        <v>57</v>
      </c>
      <c r="AE17" s="22" t="s">
        <v>48</v>
      </c>
      <c r="AF17" s="19">
        <f t="shared" si="0"/>
        <v>21.75</v>
      </c>
    </row>
    <row r="18" spans="1:32" s="2" customFormat="1" ht="63" customHeight="1" thickBot="1" x14ac:dyDescent="0.35">
      <c r="A18" s="33">
        <f>B17+1</f>
        <v>46041</v>
      </c>
      <c r="B18" s="13">
        <f>B17+7</f>
        <v>46047</v>
      </c>
      <c r="C18" s="14">
        <v>15</v>
      </c>
      <c r="D18" s="23"/>
      <c r="E18" s="16"/>
      <c r="F18" s="16"/>
      <c r="G18" s="17"/>
      <c r="H18" s="18" t="s">
        <v>137</v>
      </c>
      <c r="I18" s="16">
        <v>4.5</v>
      </c>
      <c r="J18" s="16" t="s">
        <v>45</v>
      </c>
      <c r="K18" s="22" t="s">
        <v>46</v>
      </c>
      <c r="L18" s="18" t="s">
        <v>42</v>
      </c>
      <c r="M18" s="16">
        <v>2.5</v>
      </c>
      <c r="N18" s="16" t="s">
        <v>43</v>
      </c>
      <c r="O18" s="22" t="s">
        <v>44</v>
      </c>
      <c r="P18" s="18"/>
      <c r="Q18" s="16"/>
      <c r="R18" s="16"/>
      <c r="S18" s="17"/>
      <c r="T18" s="18"/>
      <c r="U18" s="16"/>
      <c r="V18" s="16"/>
      <c r="W18" s="17"/>
      <c r="X18" s="18"/>
      <c r="Y18" s="16"/>
      <c r="Z18" s="16"/>
      <c r="AA18" s="17"/>
      <c r="AB18" s="18"/>
      <c r="AC18" s="16"/>
      <c r="AD18" s="16"/>
      <c r="AE18" s="17"/>
      <c r="AF18" s="19">
        <f t="shared" si="0"/>
        <v>7</v>
      </c>
    </row>
    <row r="19" spans="1:32" ht="15" thickBot="1" x14ac:dyDescent="0.35">
      <c r="B19" t="s">
        <v>18</v>
      </c>
      <c r="AE19" s="37" t="s">
        <v>36</v>
      </c>
      <c r="AF19" s="9">
        <f>SUM(AF4:AF18)</f>
        <v>133.75</v>
      </c>
    </row>
    <row r="20" spans="1:32" x14ac:dyDescent="0.3">
      <c r="E20" s="1" t="s">
        <v>18</v>
      </c>
    </row>
    <row r="21" spans="1:32" x14ac:dyDescent="0.3">
      <c r="J21" s="1" t="s">
        <v>18</v>
      </c>
      <c r="AC21" s="1" t="s">
        <v>18</v>
      </c>
    </row>
    <row r="22" spans="1:32" x14ac:dyDescent="0.3">
      <c r="J22" s="1" t="s">
        <v>18</v>
      </c>
      <c r="AD22" s="1" t="s">
        <v>18</v>
      </c>
    </row>
    <row r="23" spans="1:32" x14ac:dyDescent="0.3">
      <c r="G23" s="1" t="s">
        <v>18</v>
      </c>
    </row>
    <row r="24" spans="1:32" x14ac:dyDescent="0.3">
      <c r="H24" s="1" t="s">
        <v>18</v>
      </c>
    </row>
    <row r="25" spans="1:32" x14ac:dyDescent="0.3">
      <c r="I25" s="1" t="s">
        <v>18</v>
      </c>
    </row>
  </sheetData>
  <mergeCells count="9">
    <mergeCell ref="AF2:AF3"/>
    <mergeCell ref="T2:W2"/>
    <mergeCell ref="X2:AA2"/>
    <mergeCell ref="AB2:AE2"/>
    <mergeCell ref="A2:B2"/>
    <mergeCell ref="D2:G2"/>
    <mergeCell ref="H2:K2"/>
    <mergeCell ref="L2:O2"/>
    <mergeCell ref="P2:S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Arbeitszeit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Ronquillo Luna</dc:creator>
  <cp:lastModifiedBy>Alan Ronquillo Luna</cp:lastModifiedBy>
  <dcterms:created xsi:type="dcterms:W3CDTF">2025-10-29T09:40:36Z</dcterms:created>
  <dcterms:modified xsi:type="dcterms:W3CDTF">2026-01-25T22:26:57Z</dcterms:modified>
</cp:coreProperties>
</file>